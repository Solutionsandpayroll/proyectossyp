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c\Downloads\"/>
    </mc:Choice>
  </mc:AlternateContent>
  <xr:revisionPtr revIDLastSave="0" documentId="13_ncr:1_{61A331C2-38CC-4A46-A507-21CBA77E6F89}" xr6:coauthVersionLast="47" xr6:coauthVersionMax="47" xr10:uidLastSave="{00000000-0000-0000-0000-000000000000}"/>
  <bookViews>
    <workbookView xWindow="-120" yWindow="-120" windowWidth="29040" windowHeight="15720" xr2:uid="{B0D3E9C2-34BB-41BC-B74E-8529DFD93695}"/>
  </bookViews>
  <sheets>
    <sheet name="Relación cargos Vs Salario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19" i="1"/>
  <c r="E18" i="1"/>
  <c r="E17" i="1"/>
  <c r="E16" i="1"/>
  <c r="E14" i="1"/>
  <c r="E13" i="1"/>
  <c r="E11" i="1"/>
  <c r="E10" i="1"/>
  <c r="E9" i="1"/>
  <c r="E5" i="1"/>
  <c r="E7" i="1"/>
  <c r="E6" i="1"/>
  <c r="E27" i="1"/>
  <c r="E20" i="1"/>
  <c r="E15" i="1"/>
  <c r="E12" i="1"/>
  <c r="F12" i="1" s="1"/>
  <c r="E8" i="1"/>
  <c r="E4" i="1"/>
</calcChain>
</file>

<file path=xl/sharedStrings.xml><?xml version="1.0" encoding="utf-8"?>
<sst xmlns="http://schemas.openxmlformats.org/spreadsheetml/2006/main" count="34" uniqueCount="34">
  <si>
    <t>Valor Hora</t>
  </si>
  <si>
    <t xml:space="preserve">Director </t>
  </si>
  <si>
    <t xml:space="preserve">Director General </t>
  </si>
  <si>
    <t>Director de operaciones</t>
  </si>
  <si>
    <t xml:space="preserve">Gerentes </t>
  </si>
  <si>
    <t>Gerente Comercial</t>
  </si>
  <si>
    <t xml:space="preserve">Gerente de Nomina y ADP </t>
  </si>
  <si>
    <t xml:space="preserve">Lideres </t>
  </si>
  <si>
    <t>Lider de Administración de personal</t>
  </si>
  <si>
    <t>Lider de Gestión Humana</t>
  </si>
  <si>
    <t>Lider de Employer of Record Colombia</t>
  </si>
  <si>
    <t>Lider Outsourcing de Tesoreria</t>
  </si>
  <si>
    <t>Profesional</t>
  </si>
  <si>
    <t>Profesional SGI</t>
  </si>
  <si>
    <t xml:space="preserve">Profesinal de Nomina </t>
  </si>
  <si>
    <t xml:space="preserve">Profesional de Employer of Record Sucursales </t>
  </si>
  <si>
    <t>Analistas</t>
  </si>
  <si>
    <t>Analista Administrativo y  financiero</t>
  </si>
  <si>
    <t>Analista de Nómina</t>
  </si>
  <si>
    <t>Analista Administración de personal</t>
  </si>
  <si>
    <t>Analista de EoR</t>
  </si>
  <si>
    <t>Tecnico de Automatización</t>
  </si>
  <si>
    <t xml:space="preserve">Asistentes </t>
  </si>
  <si>
    <t>Asistente Administrativo y Financiero</t>
  </si>
  <si>
    <t xml:space="preserve">Asistente Comercial </t>
  </si>
  <si>
    <t>Asistente de Comunicación y Marketing</t>
  </si>
  <si>
    <t xml:space="preserve"> Asistente de Nómina</t>
  </si>
  <si>
    <t>Asistente Administración de Personal</t>
  </si>
  <si>
    <t>Asistente de EoR</t>
  </si>
  <si>
    <t>Asistente de tesorería</t>
  </si>
  <si>
    <t>Aprendices</t>
  </si>
  <si>
    <t>Aprendiz y Practicante</t>
  </si>
  <si>
    <t>Cargo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</si>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</sst>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2" fontId="0" fillId="0" borderId="0" xfId="0" applyNumberFormat="1"/>
    <xf numFmtId="0" fontId="0" fillId="0" borderId="1" xfId="0" applyBorder="1" applyAlignment="1">
      <alignment horizontal="center"/>
    </xf>
    <xf numFmtId="42" fontId="0" fillId="0" borderId="4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vertical="center"/>
    </xf>
    <xf numFmtId="42" fontId="0" fillId="0" borderId="4" xfId="0" applyNumberFormat="1" applyBorder="1" applyAlignment="1">
      <alignment vertical="center"/>
    </xf>
    <xf numFmtId="42" fontId="0" fillId="0" borderId="1" xfId="0" applyNumberFormat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2" fontId="0" fillId="0" borderId="1" xfId="0" applyNumberFormat="1" applyBorder="1" applyAlignment="1">
      <alignment horizontal="center"/>
    </xf>
    <xf numFmtId="42" fontId="0" fillId="0" borderId="5" xfId="0" applyNumberFormat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9359-2F9C-4EFF-858D-78CD5030DE98}">
  <dimension ref="B3:G27"/>
  <sheetViews>
    <sheetView tabSelected="1" workbookViewId="0">
      <selection activeCell="I29" sqref="I29"/>
    </sheetView>
  </sheetViews>
  <sheetFormatPr baseColWidth="10" defaultColWidth="11.42578125" defaultRowHeight="15" x14ac:dyDescent="0.25"/>
  <cols>
    <col min="2" max="2" width="19.140625" customWidth="1"/>
    <col min="3" max="3" width="47.42578125" customWidth="1"/>
    <col min="4" max="4" width="16.85546875" style="1" customWidth="1"/>
    <col min="5" max="5" width="12" bestFit="1" customWidth="1"/>
  </cols>
  <sheetData>
    <row r="3" spans="2:6" x14ac:dyDescent="0.25">
      <c r="C3" s="2" t="s">
        <v>32</v>
      </c>
      <c r="D3" s="14" t="s">
        <v>33</v>
      </c>
      <c r="E3" s="4" t="s">
        <v>0</v>
      </c>
    </row>
    <row r="4" spans="2:6" x14ac:dyDescent="0.25">
      <c r="B4" s="11" t="s">
        <v>1</v>
      </c>
      <c r="C4" s="8" t="s">
        <v>2</v>
      </c>
      <c r="D4" s="6">
        <v>20217000</v>
      </c>
      <c r="E4" s="7">
        <f>D4/180</f>
        <v>112316.66666666667</v>
      </c>
    </row>
    <row r="5" spans="2:6" x14ac:dyDescent="0.25">
      <c r="B5" s="11"/>
      <c r="C5" s="8" t="s">
        <v>3</v>
      </c>
      <c r="D5" s="6">
        <v>20217000</v>
      </c>
      <c r="E5" s="7">
        <f>D5/180</f>
        <v>112316.66666666667</v>
      </c>
    </row>
    <row r="6" spans="2:6" x14ac:dyDescent="0.25">
      <c r="B6" s="11" t="s">
        <v>4</v>
      </c>
      <c r="C6" s="8" t="s">
        <v>5</v>
      </c>
      <c r="D6" s="6">
        <v>11078000</v>
      </c>
      <c r="E6" s="7">
        <f>D6/180</f>
        <v>61544.444444444445</v>
      </c>
    </row>
    <row r="7" spans="2:6" x14ac:dyDescent="0.25">
      <c r="B7" s="11"/>
      <c r="C7" s="8" t="s">
        <v>6</v>
      </c>
      <c r="D7" s="6">
        <v>8320000</v>
      </c>
      <c r="E7" s="7">
        <f>D7/180</f>
        <v>46222.222222222219</v>
      </c>
    </row>
    <row r="8" spans="2:6" x14ac:dyDescent="0.25">
      <c r="B8" s="11" t="s">
        <v>7</v>
      </c>
      <c r="C8" s="9" t="s">
        <v>8</v>
      </c>
      <c r="D8" s="6">
        <v>6710000</v>
      </c>
      <c r="E8" s="7">
        <f>D8/180</f>
        <v>37277.777777777781</v>
      </c>
    </row>
    <row r="9" spans="2:6" x14ac:dyDescent="0.25">
      <c r="B9" s="11"/>
      <c r="C9" s="8" t="s">
        <v>9</v>
      </c>
      <c r="D9" s="6">
        <v>6710000</v>
      </c>
      <c r="E9" s="7">
        <f>D9/180</f>
        <v>37277.777777777781</v>
      </c>
    </row>
    <row r="10" spans="2:6" x14ac:dyDescent="0.25">
      <c r="B10" s="11"/>
      <c r="C10" s="8" t="s">
        <v>10</v>
      </c>
      <c r="D10" s="6">
        <v>6710000</v>
      </c>
      <c r="E10" s="7">
        <f>D10/180</f>
        <v>37277.777777777781</v>
      </c>
    </row>
    <row r="11" spans="2:6" x14ac:dyDescent="0.25">
      <c r="B11" s="11"/>
      <c r="C11" s="8" t="s">
        <v>11</v>
      </c>
      <c r="D11" s="6">
        <v>6710000</v>
      </c>
      <c r="E11" s="7">
        <f>D11/180</f>
        <v>37277.777777777781</v>
      </c>
    </row>
    <row r="12" spans="2:6" x14ac:dyDescent="0.25">
      <c r="B12" s="11" t="s">
        <v>12</v>
      </c>
      <c r="C12" s="8" t="s">
        <v>13</v>
      </c>
      <c r="D12" s="6">
        <v>5700000</v>
      </c>
      <c r="E12" s="7">
        <f>D12/180</f>
        <v>31666.666666666668</v>
      </c>
      <c r="F12" s="1">
        <f>E12/2</f>
        <v>15833.333333333334</v>
      </c>
    </row>
    <row r="13" spans="2:6" x14ac:dyDescent="0.25">
      <c r="B13" s="11"/>
      <c r="C13" s="8" t="s">
        <v>14</v>
      </c>
      <c r="D13" s="6">
        <v>5700000</v>
      </c>
      <c r="E13" s="7">
        <f>D13/180</f>
        <v>31666.666666666668</v>
      </c>
    </row>
    <row r="14" spans="2:6" x14ac:dyDescent="0.25">
      <c r="B14" s="11"/>
      <c r="C14" s="10" t="s">
        <v>15</v>
      </c>
      <c r="D14" s="6">
        <v>5700000</v>
      </c>
      <c r="E14" s="7">
        <f>D14/180</f>
        <v>31666.666666666668</v>
      </c>
    </row>
    <row r="15" spans="2:6" x14ac:dyDescent="0.25">
      <c r="B15" s="12" t="s">
        <v>16</v>
      </c>
      <c r="C15" s="9" t="s">
        <v>17</v>
      </c>
      <c r="D15" s="15">
        <v>4600000</v>
      </c>
      <c r="E15" s="7">
        <f>D15/180</f>
        <v>25555.555555555555</v>
      </c>
    </row>
    <row r="16" spans="2:6" x14ac:dyDescent="0.25">
      <c r="B16" s="13"/>
      <c r="C16" s="9" t="s">
        <v>18</v>
      </c>
      <c r="D16" s="15">
        <v>4600000</v>
      </c>
      <c r="E16" s="7">
        <f>D16/180</f>
        <v>25555.555555555555</v>
      </c>
    </row>
    <row r="17" spans="2:7" x14ac:dyDescent="0.25">
      <c r="B17" s="13"/>
      <c r="C17" s="9" t="s">
        <v>19</v>
      </c>
      <c r="D17" s="15">
        <v>4600000</v>
      </c>
      <c r="E17" s="7">
        <f>D17/180</f>
        <v>25555.555555555555</v>
      </c>
    </row>
    <row r="18" spans="2:7" x14ac:dyDescent="0.25">
      <c r="B18" s="13"/>
      <c r="C18" s="9" t="s">
        <v>20</v>
      </c>
      <c r="D18" s="15">
        <v>4600000</v>
      </c>
      <c r="E18" s="7">
        <f>D18/180</f>
        <v>25555.555555555555</v>
      </c>
    </row>
    <row r="19" spans="2:7" x14ac:dyDescent="0.25">
      <c r="B19" s="13"/>
      <c r="C19" s="9" t="s">
        <v>21</v>
      </c>
      <c r="D19" s="15">
        <v>4600000</v>
      </c>
      <c r="E19" s="7">
        <f>D19/180</f>
        <v>25555.555555555555</v>
      </c>
    </row>
    <row r="20" spans="2:7" x14ac:dyDescent="0.25">
      <c r="B20" s="11" t="s">
        <v>22</v>
      </c>
      <c r="C20" s="9" t="s">
        <v>23</v>
      </c>
      <c r="D20" s="6">
        <v>3650000</v>
      </c>
      <c r="E20" s="7">
        <f>D20/180</f>
        <v>20277.777777777777</v>
      </c>
    </row>
    <row r="21" spans="2:7" x14ac:dyDescent="0.25">
      <c r="B21" s="11"/>
      <c r="C21" s="9" t="s">
        <v>24</v>
      </c>
      <c r="D21" s="6">
        <v>3650000</v>
      </c>
      <c r="E21" s="7">
        <f>D21/180</f>
        <v>20277.777777777777</v>
      </c>
    </row>
    <row r="22" spans="2:7" x14ac:dyDescent="0.25">
      <c r="B22" s="11"/>
      <c r="C22" s="9" t="s">
        <v>25</v>
      </c>
      <c r="D22" s="6">
        <v>3650000</v>
      </c>
      <c r="E22" s="7">
        <f>D22/180</f>
        <v>20277.777777777777</v>
      </c>
    </row>
    <row r="23" spans="2:7" x14ac:dyDescent="0.25">
      <c r="B23" s="11"/>
      <c r="C23" s="9" t="s">
        <v>26</v>
      </c>
      <c r="D23" s="6">
        <v>3650000</v>
      </c>
      <c r="E23" s="7">
        <f>D23/180</f>
        <v>20277.777777777777</v>
      </c>
    </row>
    <row r="24" spans="2:7" x14ac:dyDescent="0.25">
      <c r="B24" s="11"/>
      <c r="C24" s="9" t="s">
        <v>27</v>
      </c>
      <c r="D24" s="6">
        <v>3650000</v>
      </c>
      <c r="E24" s="7">
        <f>D24/180</f>
        <v>20277.777777777777</v>
      </c>
      <c r="G24" s="7"/>
    </row>
    <row r="25" spans="2:7" x14ac:dyDescent="0.25">
      <c r="B25" s="11"/>
      <c r="C25" s="9" t="s">
        <v>28</v>
      </c>
      <c r="D25" s="6">
        <v>3650000</v>
      </c>
      <c r="E25" s="7">
        <f>D25/180</f>
        <v>20277.777777777777</v>
      </c>
    </row>
    <row r="26" spans="2:7" x14ac:dyDescent="0.25">
      <c r="B26" s="11"/>
      <c r="C26" s="9" t="s">
        <v>29</v>
      </c>
      <c r="D26" s="6">
        <v>3650000</v>
      </c>
      <c r="E26" s="7">
        <f>D26/180</f>
        <v>20277.777777777777</v>
      </c>
    </row>
    <row r="27" spans="2:7" x14ac:dyDescent="0.25">
      <c r="B27" s="2" t="s">
        <v>30</v>
      </c>
      <c r="C27" s="9" t="s">
        <v>31</v>
      </c>
      <c r="D27" s="3">
        <v>2770000</v>
      </c>
      <c r="E27" s="5">
        <f>+D27/180</f>
        <v>15388.888888888889</v>
      </c>
    </row>
  </sheetData>
  <mergeCells count="6">
    <mergeCell ref="B20:B26"/>
    <mergeCell ref="B4:B5"/>
    <mergeCell ref="B15:B19"/>
    <mergeCell ref="B8:B11"/>
    <mergeCell ref="B6:B7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Relación cargos Vs Salarios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Juan David Urbina</cp:lastModifiedBy>
  <cp:revision/>
  <dcterms:created xsi:type="dcterms:W3CDTF">2026-02-03T17:32:57Z</dcterms:created>
  <dcterms:modified xsi:type="dcterms:W3CDTF">2026-05-11T21:58:28Z</dcterms:modified>
  <cp:category/>
  <cp:contentStatus/>
</cp:coreProperties>
</file>